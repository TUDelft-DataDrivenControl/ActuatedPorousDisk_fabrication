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sachinumans_tudelft_nl/Documents/Documents/01a_Physical_Experiment/ActuatedPorousDisk_fabrication/01_Hardware/"/>
    </mc:Choice>
  </mc:AlternateContent>
  <xr:revisionPtr revIDLastSave="436" documentId="8_{E9015A34-CF2A-4CF8-B73E-E4BD491994F5}" xr6:coauthVersionLast="47" xr6:coauthVersionMax="47" xr10:uidLastSave="{B7A38F50-7C0D-4BC2-8A76-9A4051EE5DA6}"/>
  <bookViews>
    <workbookView xWindow="-108" yWindow="-108" windowWidth="23256" windowHeight="13896" xr2:uid="{21B984F4-F71A-4ACE-8DA9-27D7BD98C737}"/>
  </bookViews>
  <sheets>
    <sheet name="PorousDi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M13" i="1"/>
  <c r="I12" i="1"/>
  <c r="H12" i="1"/>
  <c r="J12" i="1" s="1"/>
  <c r="H11" i="1"/>
  <c r="J11" i="1" s="1"/>
  <c r="I11" i="1"/>
  <c r="H7" i="1"/>
  <c r="J7" i="1" s="1"/>
  <c r="I7" i="1"/>
  <c r="H10" i="1"/>
  <c r="J10" i="1" s="1"/>
  <c r="I10" i="1"/>
  <c r="G20" i="1"/>
  <c r="I20" i="1" s="1"/>
  <c r="H18" i="1"/>
  <c r="J18" i="1" s="1"/>
  <c r="H19" i="1"/>
  <c r="J19" i="1" s="1"/>
  <c r="H13" i="1"/>
  <c r="J13" i="1" s="1"/>
  <c r="H22" i="1"/>
  <c r="J22" i="1" s="1"/>
  <c r="H23" i="1"/>
  <c r="J23" i="1" s="1"/>
  <c r="H20" i="1"/>
  <c r="H14" i="1"/>
  <c r="J14" i="1" s="1"/>
  <c r="H15" i="1"/>
  <c r="J15" i="1" s="1"/>
  <c r="H21" i="1"/>
  <c r="H16" i="1"/>
  <c r="J16" i="1" s="1"/>
  <c r="H17" i="1"/>
  <c r="J17" i="1" s="1"/>
  <c r="H2" i="1"/>
  <c r="H3" i="1"/>
  <c r="J3" i="1" s="1"/>
  <c r="H24" i="1"/>
  <c r="J24" i="1" s="1"/>
  <c r="H8" i="1"/>
  <c r="J8" i="1" s="1"/>
  <c r="H9" i="1"/>
  <c r="J9" i="1" s="1"/>
  <c r="H4" i="1"/>
  <c r="J4" i="1" s="1"/>
  <c r="H5" i="1"/>
  <c r="J5" i="1" s="1"/>
  <c r="H6" i="1"/>
  <c r="J6" i="1" s="1"/>
  <c r="G19" i="1"/>
  <c r="I18" i="1"/>
  <c r="I19" i="1"/>
  <c r="I13" i="1"/>
  <c r="I22" i="1"/>
  <c r="I23" i="1"/>
  <c r="I14" i="1"/>
  <c r="I15" i="1"/>
  <c r="I21" i="1"/>
  <c r="I16" i="1"/>
  <c r="I17" i="1"/>
  <c r="I3" i="1"/>
  <c r="I24" i="1"/>
  <c r="I8" i="1"/>
  <c r="I9" i="1"/>
  <c r="M2" i="1" s="1"/>
  <c r="I4" i="1"/>
  <c r="I5" i="1"/>
  <c r="I6" i="1"/>
  <c r="E2" i="1"/>
  <c r="G21" i="1"/>
  <c r="J20" i="1" l="1"/>
  <c r="J2" i="1"/>
  <c r="I2" i="1"/>
  <c r="J21" i="1"/>
  <c r="M1" i="1" l="1"/>
</calcChain>
</file>

<file path=xl/sharedStrings.xml><?xml version="1.0" encoding="utf-8"?>
<sst xmlns="http://schemas.openxmlformats.org/spreadsheetml/2006/main" count="110" uniqueCount="78">
  <si>
    <t>Part name</t>
  </si>
  <si>
    <t>Link</t>
  </si>
  <si>
    <t># per turbine</t>
  </si>
  <si>
    <t># units to buy</t>
  </si>
  <si>
    <t>Tower shell</t>
  </si>
  <si>
    <t xml:space="preserve">https://www.hornbach.nl/p/kaiserthal-ronde-buis-o-6x0-5-mm-messing-gecoat-100-cm/799382/ </t>
  </si>
  <si>
    <t>Supplier</t>
  </si>
  <si>
    <t>Hornbach</t>
  </si>
  <si>
    <t>Part requirements</t>
  </si>
  <si>
    <r>
      <t xml:space="preserve">Tube </t>
    </r>
    <r>
      <rPr>
        <sz val="11"/>
        <color theme="1"/>
        <rFont val="Aptos Narrow"/>
        <family val="2"/>
      </rPr>
      <t>Ø6x0.5mm</t>
    </r>
  </si>
  <si>
    <t>Bush bearing</t>
  </si>
  <si>
    <t xml:space="preserve">https://www.materiaal.nl/product/008030059902/ </t>
  </si>
  <si>
    <t>Materiaal</t>
  </si>
  <si>
    <t>Mitre gear</t>
  </si>
  <si>
    <t xml:space="preserve">https://nl.rs-online.com/web/p/mitre-bevel-gears/1827986 </t>
  </si>
  <si>
    <t>RS</t>
  </si>
  <si>
    <t>Ø3mm bore mitre gear</t>
  </si>
  <si>
    <t>https://www.conrad.nl/nl/p/messing-rond-profiel-o-x-l-3-mm-x-500-mm-1-stuk-s-297232.html#productTechData</t>
  </si>
  <si>
    <t>Tower+nacelle axle</t>
  </si>
  <si>
    <t>Ø3mm round</t>
  </si>
  <si>
    <t>Nacelle bolt</t>
  </si>
  <si>
    <t>Nacelle nut</t>
  </si>
  <si>
    <t>Base bolt</t>
  </si>
  <si>
    <t xml:space="preserve">https://nl.rs-online.com/web/p/hex-bolts/9172867 </t>
  </si>
  <si>
    <t>M6x90mm</t>
  </si>
  <si>
    <t>Base nut</t>
  </si>
  <si>
    <t xml:space="preserve">https://nl.rs-online.com/web/p/hex-nuts/1925603 </t>
  </si>
  <si>
    <t>M6</t>
  </si>
  <si>
    <t xml:space="preserve">https://nl.rs-online.com/web/p/socket-screws/0281186 </t>
  </si>
  <si>
    <t>Motor mounting bolts</t>
  </si>
  <si>
    <t>M3; 4.5mm threaded depth in motor</t>
  </si>
  <si>
    <t>Type</t>
  </si>
  <si>
    <t>Fastener</t>
  </si>
  <si>
    <t>Mechanical</t>
  </si>
  <si>
    <t>Stepper motor</t>
  </si>
  <si>
    <t xml:space="preserve">https://www.tinytronics.nl/nl/mechanica-en-actuatoren/motoren/stappenmotoren/stappenmotor-0.9-0.54n.m-1.68a-nema17-jst-ph-connector </t>
  </si>
  <si>
    <t>TinyTronics</t>
  </si>
  <si>
    <t>Flex. axle coupling</t>
  </si>
  <si>
    <t xml:space="preserve">https://www.benselectronics.nl/flexibele-motor-koppeling-3mm-naar-5mm.html </t>
  </si>
  <si>
    <t>Ben's electronics</t>
  </si>
  <si>
    <t>5mm to 3mm coupling</t>
  </si>
  <si>
    <t>Stepper driver</t>
  </si>
  <si>
    <t xml:space="preserve">https://www.tinytronics.nl/en/mechanics-and-actuators/motor-controllers-and-drivers/stepper-motor-controllers-and-drivers/drv8825-motor-driver-module </t>
  </si>
  <si>
    <t>Minimal power of motor</t>
  </si>
  <si>
    <t xml:space="preserve">https://www.tinytronics.nl/en/development-boards/microcontroller-boards/with-wi-fi/wemos-s3-mini-esp32-s3-v1.0.0 </t>
  </si>
  <si>
    <t>Printed parts</t>
  </si>
  <si>
    <t>Lab</t>
  </si>
  <si>
    <t>Strain gauge</t>
  </si>
  <si>
    <t>Gauge amp.</t>
  </si>
  <si>
    <t>Ø5 OD, Ø3 ID bearing with flange</t>
  </si>
  <si>
    <t>Faculty WS</t>
  </si>
  <si>
    <t>https://nl.rs-online.com/web/p/socket-screws/2668433</t>
  </si>
  <si>
    <t>M3x12mm, countersunk</t>
  </si>
  <si>
    <t>M3, half height nut</t>
  </si>
  <si>
    <t xml:space="preserve">https://www.hornbach.nl/p/reyher-zeskantmoer-m3-laag-din-439-galv-verzinkt-100-stuks/10563875/ </t>
  </si>
  <si>
    <t>2x nacelle halves, rotor, stator, 2x towerbase adapter halves, motor mounting plate, 2x generator mount halves</t>
  </si>
  <si>
    <t>https://www.tinytronics.nl/en/communication-and-signals/io-converters/signal-amplifier-module-ad620</t>
  </si>
  <si>
    <t># per pack</t>
  </si>
  <si>
    <t>Microcontroller</t>
  </si>
  <si>
    <t>Homing potmeter</t>
  </si>
  <si>
    <t>https://www.benselectronics.nl/b5k-linear-potentiometer-5-k-ohm.html</t>
  </si>
  <si>
    <t>Condensators</t>
  </si>
  <si>
    <t>Resistors</t>
  </si>
  <si>
    <t>Pack price</t>
  </si>
  <si>
    <t>Total</t>
  </si>
  <si>
    <t>€ per pack (incl VAT)</t>
  </si>
  <si>
    <t>Voltage regulator</t>
  </si>
  <si>
    <t>https://www.tinytronics.nl/nl/componenten/spanningsregelaars/lm1117t-3.3v-spanningsregelaar</t>
  </si>
  <si>
    <t>Optocoupler</t>
  </si>
  <si>
    <t>https://www.tinytronics.nl/nl/componenten/optocouplers/everlight-optocoupler-el817</t>
  </si>
  <si>
    <t>ADC</t>
  </si>
  <si>
    <t>https://www.tinytronics.nl/nl/sensoren/stroom-spanning/ads1115-adc-module-16-bit-i2c-4-kanalen</t>
  </si>
  <si>
    <t>Antialiasing filter</t>
  </si>
  <si>
    <t>Just an estimate</t>
  </si>
  <si>
    <t>Electro</t>
  </si>
  <si>
    <t>https://www.hbkworld.com/en/products/transducers/strain/experimental-testing/y-series/ly/p-1-LY63-3/350</t>
  </si>
  <si>
    <t>HBK</t>
  </si>
  <si>
    <t>1-LY63-3/350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</si>
</sst>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2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44" fontId="0" fillId="0" borderId="0" xfId="1" applyFont="1"/>
    <xf numFmtId="44" fontId="2" fillId="0" borderId="0" xfId="1" applyFont="1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 &quot;€&quot;\ * #,##0.00_ ;_ &quot;€&quot;\ * \-#,##0.00_ ;_ &quot;€&quot;\ * &quot;-&quot;??_ ;_ @_ 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59C20-85D2-461A-B420-7514FFC3D7C7}" name="Table1" displayName="Table1" ref="A1:K24" totalsRowShown="0" headerRowDxfId="5">
  <autoFilter ref="A1:K24" xr:uid="{04559C20-85D2-461A-B420-7514FFC3D7C7}"/>
  <sortState xmlns:xlrd2="http://schemas.microsoft.com/office/spreadsheetml/2017/richdata2" ref="A2:K24">
    <sortCondition ref="D1:D24"/>
  </sortState>
  <tableColumns count="11">
    <tableColumn id="1" xr3:uid="{DD17456D-ADDD-4E2D-B2FC-047BBD92B66E}" name="Part name" dataDxfId="4"/>
    <tableColumn id="2" xr3:uid="{DA9E3F1B-AD04-466D-8121-D5524EF9FBDC}" name="Link" dataCellStyle="Hyperlink"/>
    <tableColumn id="3" xr3:uid="{8E15D18F-AF01-4C93-BC09-ED113C2619D5}" name="Supplier"/>
    <tableColumn id="4" xr3:uid="{9CF47BF8-CC1A-4252-B3C9-94E272DB0A5F}" name="Type"/>
    <tableColumn id="5" xr3:uid="{02CE6CC6-6E3F-47AD-B08C-48E7B015E2CC}" name="# per turbine"/>
    <tableColumn id="6" xr3:uid="{77A24DEA-8707-4AFE-B048-5ED818DC9226}" name="# per pack"/>
    <tableColumn id="7" xr3:uid="{D6E50882-0A83-4034-92D1-CB640945A728}" name="€ per pack (incl VAT)" dataDxfId="3" dataCellStyle="Currency"/>
    <tableColumn id="8" xr3:uid="{D75FA897-9037-4930-AA29-75D2E809B13F}" name="# units to buy" dataDxfId="2">
      <calculatedColumnFormula>_xlfn.CEILING.MATH(Table1[[#This Row],['# per turbine]]/Table1[[#This Row],['# per pack]])</calculatedColumnFormula>
    </tableColumn>
    <tableColumn id="10" xr3:uid="{BB972844-B314-4DAE-9B61-E84AB1E8544E}" name="Total" dataDxfId="1">
      <calculatedColumnFormula>Table1[[#This Row],[€ per pack (incl VAT)]]/Table1[[#This Row],['# per pack]]*Table1[[#This Row],['# per turbine]]</calculatedColumnFormula>
    </tableColumn>
    <tableColumn id="9" xr3:uid="{A7D36B75-6362-44E5-800C-A030DBFAB0CD}" name="Pack price" dataDxfId="0" dataCellStyle="Currency">
      <calculatedColumnFormula>H2*G2</calculatedColumnFormula>
    </tableColumn>
    <tableColumn id="11" xr3:uid="{E9EA638B-B4D3-4AD8-AA80-E03A43F0735D}" name="Part requirement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rs-online.com/web/p/hex-nuts/1925603" TargetMode="External"/><Relationship Id="rId13" Type="http://schemas.openxmlformats.org/officeDocument/2006/relationships/hyperlink" Target="https://www.tinytronics.nl/en/development-boards/microcontroller-boards/with-wi-fi/wemos-s3-mini-esp32-s3-v1.0.0" TargetMode="External"/><Relationship Id="rId3" Type="http://schemas.openxmlformats.org/officeDocument/2006/relationships/hyperlink" Target="https://nl.rs-online.com/web/p/mitre-bevel-gears/1827986" TargetMode="External"/><Relationship Id="rId7" Type="http://schemas.openxmlformats.org/officeDocument/2006/relationships/hyperlink" Target="https://nl.rs-online.com/web/p/hex-bolts/9172867" TargetMode="External"/><Relationship Id="rId12" Type="http://schemas.openxmlformats.org/officeDocument/2006/relationships/hyperlink" Target="https://www.tinytronics.nl/en/mechanics-and-actuators/motor-controllers-and-drivers/stepper-motor-controllers-and-drivers/drv8825-motor-driver-module" TargetMode="External"/><Relationship Id="rId2" Type="http://schemas.openxmlformats.org/officeDocument/2006/relationships/hyperlink" Target="https://www.materiaal.nl/product/008030059902/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hornbach.nl/p/kaiserthal-ronde-buis-o-6x0-5-mm-messing-gecoat-100-cm/799382/" TargetMode="External"/><Relationship Id="rId6" Type="http://schemas.openxmlformats.org/officeDocument/2006/relationships/hyperlink" Target="https://www.hornbach.nl/p/reyher-zeskantmoer-m3-laag-din-439-galv-verzinkt-100-stuks/10563875/" TargetMode="External"/><Relationship Id="rId11" Type="http://schemas.openxmlformats.org/officeDocument/2006/relationships/hyperlink" Target="https://www.benselectronics.nl/flexibele-motor-koppeling-3mm-naar-5mm.html" TargetMode="External"/><Relationship Id="rId5" Type="http://schemas.openxmlformats.org/officeDocument/2006/relationships/hyperlink" Target="https://nl.rs-online.com/web/p/socket-screws/266843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tinytronics.nl/nl/mechanica-en-actuatoren/motoren/stappenmotoren/stappenmotor-0.9-0.54n.m-1.68a-nema17-jst-ph-connector" TargetMode="External"/><Relationship Id="rId4" Type="http://schemas.openxmlformats.org/officeDocument/2006/relationships/hyperlink" Target="https://www.conrad.nl/nl/p/messing-rond-profiel-o-x-l-3-mm-x-500-mm-1-stuk-s-297232.html" TargetMode="External"/><Relationship Id="rId9" Type="http://schemas.openxmlformats.org/officeDocument/2006/relationships/hyperlink" Target="https://nl.rs-online.com/web/p/socket-screws/0281186" TargetMode="External"/><Relationship Id="rId14" Type="http://schemas.openxmlformats.org/officeDocument/2006/relationships/hyperlink" Target="https://www.tinytronics.nl/en/communication-and-signals/io-converters/signal-amplifier-module-ad6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CAA8-E429-414C-8D5A-69B27C1A67E9}">
  <dimension ref="A1:M25"/>
  <sheetViews>
    <sheetView tabSelected="1" workbookViewId="0">
      <pane ySplit="1" topLeftCell="A2" activePane="bottomLeft" state="frozen"/>
      <selection pane="bottomLeft" activeCell="M8" sqref="M8"/>
    </sheetView>
  </sheetViews>
  <sheetFormatPr defaultRowHeight="14.4" x14ac:dyDescent="0.3"/>
  <cols>
    <col min="1" max="1" width="14.77734375" style="2" customWidth="1"/>
    <col min="2" max="2" width="6.33203125" customWidth="1"/>
    <col min="3" max="3" width="9.88671875" customWidth="1"/>
    <col min="4" max="4" width="11.6640625" bestFit="1" customWidth="1"/>
    <col min="5" max="5" width="13.33203125" customWidth="1"/>
    <col min="6" max="6" width="14.5546875" customWidth="1"/>
    <col min="7" max="7" width="11.33203125" style="5" customWidth="1"/>
    <col min="8" max="9" width="13.88671875" customWidth="1"/>
    <col min="10" max="10" width="12.21875" style="5" customWidth="1"/>
    <col min="11" max="11" width="17.77734375" customWidth="1"/>
    <col min="12" max="12" width="15.5546875" bestFit="1" customWidth="1"/>
  </cols>
  <sheetData>
    <row r="1" spans="1:13" x14ac:dyDescent="0.3">
      <c r="A1" s="3" t="s">
        <v>0</v>
      </c>
      <c r="B1" s="4" t="s">
        <v>1</v>
      </c>
      <c r="C1" s="4" t="s">
        <v>6</v>
      </c>
      <c r="D1" s="4" t="s">
        <v>31</v>
      </c>
      <c r="E1" s="4" t="s">
        <v>2</v>
      </c>
      <c r="F1" s="4" t="s">
        <v>57</v>
      </c>
      <c r="G1" s="6" t="s">
        <v>65</v>
      </c>
      <c r="H1" s="4" t="s">
        <v>3</v>
      </c>
      <c r="I1" s="4" t="s">
        <v>64</v>
      </c>
      <c r="J1" s="6" t="s">
        <v>63</v>
      </c>
      <c r="K1" s="4" t="s">
        <v>8</v>
      </c>
      <c r="M1" s="7">
        <f>SUM(I2:I40)/1.21</f>
        <v>77.063355371900826</v>
      </c>
    </row>
    <row r="2" spans="1:13" x14ac:dyDescent="0.3">
      <c r="A2" s="2" t="s">
        <v>58</v>
      </c>
      <c r="B2" s="1" t="s">
        <v>44</v>
      </c>
      <c r="C2" t="s">
        <v>36</v>
      </c>
      <c r="D2" t="s">
        <v>74</v>
      </c>
      <c r="E2">
        <f>1/50</f>
        <v>0.02</v>
      </c>
      <c r="F2">
        <v>1</v>
      </c>
      <c r="G2" s="5">
        <v>8.5</v>
      </c>
      <c r="H2">
        <f>_xlfn.CEILING.MATH(Table1[[#This Row],['# per turbine]]/Table1[[#This Row],['# per pack]])</f>
        <v>1</v>
      </c>
      <c r="I2" s="7">
        <f>Table1[[#This Row],[€ per pack (incl VAT)]]/Table1[[#This Row],['# per pack]]*Table1[[#This Row],['# per turbine]]</f>
        <v>0.17</v>
      </c>
      <c r="J2" s="5">
        <f t="shared" ref="J2:J24" si="0">H2*G2</f>
        <v>8.5</v>
      </c>
      <c r="M2" s="7">
        <f>SUM(I2:I12)/1.21</f>
        <v>48.735537190082646</v>
      </c>
    </row>
    <row r="3" spans="1:13" x14ac:dyDescent="0.3">
      <c r="A3" s="2" t="s">
        <v>41</v>
      </c>
      <c r="B3" s="1" t="s">
        <v>42</v>
      </c>
      <c r="C3" t="s">
        <v>36</v>
      </c>
      <c r="D3" t="s">
        <v>74</v>
      </c>
      <c r="E3">
        <v>1</v>
      </c>
      <c r="F3">
        <v>1</v>
      </c>
      <c r="G3" s="5">
        <v>5</v>
      </c>
      <c r="H3">
        <f>_xlfn.CEILING.MATH(Table1[[#This Row],['# per turbine]]/Table1[[#This Row],['# per pack]])</f>
        <v>1</v>
      </c>
      <c r="I3" s="7">
        <f>Table1[[#This Row],[€ per pack (incl VAT)]]/Table1[[#This Row],['# per pack]]*Table1[[#This Row],['# per turbine]]</f>
        <v>5</v>
      </c>
      <c r="J3" s="5">
        <f t="shared" si="0"/>
        <v>5</v>
      </c>
      <c r="K3" t="s">
        <v>43</v>
      </c>
    </row>
    <row r="4" spans="1:13" ht="28.8" x14ac:dyDescent="0.3">
      <c r="A4" s="2" t="s">
        <v>59</v>
      </c>
      <c r="B4" s="1" t="s">
        <v>60</v>
      </c>
      <c r="C4" t="s">
        <v>39</v>
      </c>
      <c r="D4" t="s">
        <v>74</v>
      </c>
      <c r="E4">
        <v>1</v>
      </c>
      <c r="F4">
        <v>1</v>
      </c>
      <c r="G4" s="5">
        <v>0.75</v>
      </c>
      <c r="H4">
        <f>_xlfn.CEILING.MATH(Table1[[#This Row],['# per turbine]]/Table1[[#This Row],['# per pack]])</f>
        <v>1</v>
      </c>
      <c r="I4" s="7">
        <f>Table1[[#This Row],[€ per pack (incl VAT)]]/Table1[[#This Row],['# per pack]]*Table1[[#This Row],['# per turbine]]</f>
        <v>0.75</v>
      </c>
      <c r="J4" s="5">
        <f t="shared" si="0"/>
        <v>0.75</v>
      </c>
    </row>
    <row r="5" spans="1:13" x14ac:dyDescent="0.3">
      <c r="A5" s="2" t="s">
        <v>61</v>
      </c>
      <c r="B5" s="1"/>
      <c r="D5" t="s">
        <v>74</v>
      </c>
      <c r="E5">
        <v>4</v>
      </c>
      <c r="F5">
        <v>1</v>
      </c>
      <c r="G5" s="5">
        <v>0.1</v>
      </c>
      <c r="H5">
        <f>_xlfn.CEILING.MATH(Table1[[#This Row],['# per turbine]]/Table1[[#This Row],['# per pack]])</f>
        <v>4</v>
      </c>
      <c r="I5" s="7">
        <f>Table1[[#This Row],[€ per pack (incl VAT)]]/Table1[[#This Row],['# per pack]]*Table1[[#This Row],['# per turbine]]</f>
        <v>0.4</v>
      </c>
      <c r="J5" s="5">
        <f t="shared" si="0"/>
        <v>0.4</v>
      </c>
    </row>
    <row r="6" spans="1:13" x14ac:dyDescent="0.3">
      <c r="A6" s="2" t="s">
        <v>62</v>
      </c>
      <c r="B6" s="1"/>
      <c r="D6" t="s">
        <v>74</v>
      </c>
      <c r="E6">
        <v>7</v>
      </c>
      <c r="F6">
        <v>1</v>
      </c>
      <c r="G6" s="5">
        <v>0.05</v>
      </c>
      <c r="H6">
        <f>_xlfn.CEILING.MATH(Table1[[#This Row],['# per turbine]]/Table1[[#This Row],['# per pack]])</f>
        <v>7</v>
      </c>
      <c r="I6" s="7">
        <f>Table1[[#This Row],[€ per pack (incl VAT)]]/Table1[[#This Row],['# per pack]]*Table1[[#This Row],['# per turbine]]</f>
        <v>0.35000000000000003</v>
      </c>
      <c r="J6" s="5">
        <f t="shared" si="0"/>
        <v>0.35000000000000003</v>
      </c>
    </row>
    <row r="7" spans="1:13" x14ac:dyDescent="0.3">
      <c r="A7" s="2" t="s">
        <v>68</v>
      </c>
      <c r="B7" s="1" t="s">
        <v>69</v>
      </c>
      <c r="C7" t="s">
        <v>36</v>
      </c>
      <c r="D7" t="s">
        <v>74</v>
      </c>
      <c r="E7">
        <v>2</v>
      </c>
      <c r="F7">
        <v>1</v>
      </c>
      <c r="G7" s="5">
        <v>0.2</v>
      </c>
      <c r="H7">
        <f>_xlfn.CEILING.MATH(Table1[[#This Row],['# per turbine]]/Table1[[#This Row],['# per pack]])</f>
        <v>2</v>
      </c>
      <c r="I7" s="7">
        <f>Table1[[#This Row],[€ per pack (incl VAT)]]/Table1[[#This Row],['# per pack]]*Table1[[#This Row],['# per turbine]]</f>
        <v>0.4</v>
      </c>
      <c r="J7" s="5">
        <f t="shared" si="0"/>
        <v>0.4</v>
      </c>
      <c r="M7" s="7"/>
    </row>
    <row r="8" spans="1:13" x14ac:dyDescent="0.3">
      <c r="A8" s="2" t="s">
        <v>48</v>
      </c>
      <c r="B8" s="1" t="s">
        <v>56</v>
      </c>
      <c r="C8" t="s">
        <v>36</v>
      </c>
      <c r="D8" t="s">
        <v>74</v>
      </c>
      <c r="E8">
        <v>1</v>
      </c>
      <c r="F8">
        <v>1</v>
      </c>
      <c r="G8" s="5">
        <v>6.5</v>
      </c>
      <c r="H8">
        <f>_xlfn.CEILING.MATH(Table1[[#This Row],['# per turbine]]/Table1[[#This Row],['# per pack]])</f>
        <v>1</v>
      </c>
      <c r="I8" s="7">
        <f>Table1[[#This Row],[€ per pack (incl VAT)]]/Table1[[#This Row],['# per pack]]*Table1[[#This Row],['# per turbine]]</f>
        <v>6.5</v>
      </c>
      <c r="J8" s="5">
        <f t="shared" si="0"/>
        <v>6.5</v>
      </c>
    </row>
    <row r="9" spans="1:13" x14ac:dyDescent="0.3">
      <c r="A9" s="2" t="s">
        <v>47</v>
      </c>
      <c r="B9" s="1" t="s">
        <v>75</v>
      </c>
      <c r="C9" t="s">
        <v>76</v>
      </c>
      <c r="D9" t="s">
        <v>74</v>
      </c>
      <c r="E9">
        <v>2</v>
      </c>
      <c r="F9">
        <v>10</v>
      </c>
      <c r="G9" s="5">
        <v>167</v>
      </c>
      <c r="H9">
        <f>_xlfn.CEILING.MATH(Table1[[#This Row],['# per turbine]]/Table1[[#This Row],['# per pack]])</f>
        <v>1</v>
      </c>
      <c r="I9" s="7">
        <f>Table1[[#This Row],[€ per pack (incl VAT)]]/Table1[[#This Row],['# per pack]]*Table1[[#This Row],['# per turbine]]</f>
        <v>33.4</v>
      </c>
      <c r="J9" s="5">
        <f t="shared" si="0"/>
        <v>167</v>
      </c>
      <c r="K9" t="s">
        <v>77</v>
      </c>
    </row>
    <row r="10" spans="1:13" x14ac:dyDescent="0.3">
      <c r="A10" s="2" t="s">
        <v>66</v>
      </c>
      <c r="B10" s="1" t="s">
        <v>67</v>
      </c>
      <c r="C10" t="s">
        <v>36</v>
      </c>
      <c r="D10" t="s">
        <v>74</v>
      </c>
      <c r="E10">
        <v>1</v>
      </c>
      <c r="F10">
        <v>1</v>
      </c>
      <c r="G10" s="5">
        <v>1.5</v>
      </c>
      <c r="H10">
        <f>_xlfn.CEILING.MATH(Table1[[#This Row],['# per turbine]]/Table1[[#This Row],['# per pack]])</f>
        <v>1</v>
      </c>
      <c r="I10" s="7">
        <f>Table1[[#This Row],[€ per pack (incl VAT)]]/Table1[[#This Row],['# per pack]]*Table1[[#This Row],['# per turbine]]</f>
        <v>1.5</v>
      </c>
      <c r="J10" s="5">
        <f t="shared" si="0"/>
        <v>1.5</v>
      </c>
    </row>
    <row r="11" spans="1:13" x14ac:dyDescent="0.3">
      <c r="A11" s="2" t="s">
        <v>70</v>
      </c>
      <c r="B11" s="1" t="s">
        <v>71</v>
      </c>
      <c r="C11" t="s">
        <v>36</v>
      </c>
      <c r="D11" t="s">
        <v>74</v>
      </c>
      <c r="E11">
        <v>1</v>
      </c>
      <c r="F11">
        <v>1</v>
      </c>
      <c r="G11" s="5">
        <v>5.5</v>
      </c>
      <c r="H11">
        <f>_xlfn.CEILING.MATH(Table1[[#This Row],['# per turbine]]/Table1[[#This Row],['# per pack]])</f>
        <v>1</v>
      </c>
      <c r="I11" s="7">
        <f>Table1[[#This Row],[€ per pack (incl VAT)]]/Table1[[#This Row],['# per pack]]*Table1[[#This Row],['# per turbine]]</f>
        <v>5.5</v>
      </c>
      <c r="J11" s="5">
        <f t="shared" si="0"/>
        <v>5.5</v>
      </c>
    </row>
    <row r="12" spans="1:13" x14ac:dyDescent="0.3">
      <c r="A12" s="2" t="s">
        <v>72</v>
      </c>
      <c r="B12" s="1"/>
      <c r="D12" t="s">
        <v>74</v>
      </c>
      <c r="E12">
        <v>1</v>
      </c>
      <c r="F12">
        <v>1</v>
      </c>
      <c r="G12" s="5">
        <v>5</v>
      </c>
      <c r="H12">
        <f>_xlfn.CEILING.MATH(Table1[[#This Row],['# per turbine]]/Table1[[#This Row],['# per pack]])</f>
        <v>1</v>
      </c>
      <c r="I12" s="7">
        <f>Table1[[#This Row],[€ per pack (incl VAT)]]/Table1[[#This Row],['# per pack]]*Table1[[#This Row],['# per turbine]]</f>
        <v>5</v>
      </c>
      <c r="J12" s="5">
        <f t="shared" si="0"/>
        <v>5</v>
      </c>
      <c r="K12" t="s">
        <v>73</v>
      </c>
    </row>
    <row r="13" spans="1:13" x14ac:dyDescent="0.3">
      <c r="A13" s="2" t="s">
        <v>21</v>
      </c>
      <c r="B13" s="1" t="s">
        <v>54</v>
      </c>
      <c r="C13" t="s">
        <v>7</v>
      </c>
      <c r="D13" t="s">
        <v>32</v>
      </c>
      <c r="E13">
        <v>1</v>
      </c>
      <c r="F13">
        <v>100</v>
      </c>
      <c r="G13" s="5">
        <v>1.7</v>
      </c>
      <c r="H13">
        <f>_xlfn.CEILING.MATH(Table1[[#This Row],['# per turbine]]/Table1[[#This Row],['# per pack]])</f>
        <v>1</v>
      </c>
      <c r="I13" s="7">
        <f>Table1[[#This Row],[€ per pack (incl VAT)]]/Table1[[#This Row],['# per pack]]*Table1[[#This Row],['# per turbine]]</f>
        <v>1.7000000000000001E-2</v>
      </c>
      <c r="J13" s="5">
        <f t="shared" si="0"/>
        <v>1.7</v>
      </c>
      <c r="K13" t="s">
        <v>53</v>
      </c>
      <c r="M13" s="7">
        <f>SUM(I13:I17)/1.21</f>
        <v>2.6940495867768592</v>
      </c>
    </row>
    <row r="14" spans="1:13" x14ac:dyDescent="0.3">
      <c r="A14" s="2" t="s">
        <v>22</v>
      </c>
      <c r="B14" s="1" t="s">
        <v>23</v>
      </c>
      <c r="C14" t="s">
        <v>15</v>
      </c>
      <c r="D14" t="s">
        <v>32</v>
      </c>
      <c r="E14">
        <v>4</v>
      </c>
      <c r="F14">
        <v>50</v>
      </c>
      <c r="G14" s="5">
        <v>19.78</v>
      </c>
      <c r="H14">
        <f>_xlfn.CEILING.MATH(Table1[[#This Row],['# per turbine]]/Table1[[#This Row],['# per pack]])</f>
        <v>1</v>
      </c>
      <c r="I14" s="7">
        <f>Table1[[#This Row],[€ per pack (incl VAT)]]/Table1[[#This Row],['# per pack]]*Table1[[#This Row],['# per turbine]]</f>
        <v>1.5824</v>
      </c>
      <c r="J14" s="5">
        <f t="shared" si="0"/>
        <v>19.78</v>
      </c>
      <c r="K14" t="s">
        <v>24</v>
      </c>
    </row>
    <row r="15" spans="1:13" x14ac:dyDescent="0.3">
      <c r="A15" s="2" t="s">
        <v>25</v>
      </c>
      <c r="B15" s="1" t="s">
        <v>26</v>
      </c>
      <c r="C15" t="s">
        <v>15</v>
      </c>
      <c r="D15" t="s">
        <v>32</v>
      </c>
      <c r="E15">
        <v>12</v>
      </c>
      <c r="F15">
        <v>100</v>
      </c>
      <c r="G15" s="5">
        <v>4.2699999999999996</v>
      </c>
      <c r="H15">
        <f>_xlfn.CEILING.MATH(Table1[[#This Row],['# per turbine]]/Table1[[#This Row],['# per pack]])</f>
        <v>1</v>
      </c>
      <c r="I15" s="7">
        <f>Table1[[#This Row],[€ per pack (incl VAT)]]/Table1[[#This Row],['# per pack]]*Table1[[#This Row],['# per turbine]]</f>
        <v>0.51239999999999997</v>
      </c>
      <c r="J15" s="5">
        <f t="shared" si="0"/>
        <v>4.2699999999999996</v>
      </c>
      <c r="K15" t="s">
        <v>27</v>
      </c>
    </row>
    <row r="16" spans="1:13" ht="28.8" x14ac:dyDescent="0.3">
      <c r="A16" s="2" t="s">
        <v>29</v>
      </c>
      <c r="B16" s="1" t="s">
        <v>28</v>
      </c>
      <c r="C16" t="s">
        <v>15</v>
      </c>
      <c r="D16" t="s">
        <v>32</v>
      </c>
      <c r="E16">
        <v>4</v>
      </c>
      <c r="F16">
        <v>100</v>
      </c>
      <c r="G16" s="5">
        <v>23.06</v>
      </c>
      <c r="H16">
        <f>_xlfn.CEILING.MATH(Table1[[#This Row],['# per turbine]]/Table1[[#This Row],['# per pack]])</f>
        <v>1</v>
      </c>
      <c r="I16" s="7">
        <f>Table1[[#This Row],[€ per pack (incl VAT)]]/Table1[[#This Row],['# per pack]]*Table1[[#This Row],['# per turbine]]</f>
        <v>0.9224</v>
      </c>
      <c r="J16" s="5">
        <f t="shared" si="0"/>
        <v>23.06</v>
      </c>
      <c r="K16" t="s">
        <v>30</v>
      </c>
    </row>
    <row r="17" spans="1:13" x14ac:dyDescent="0.3">
      <c r="A17" s="2" t="s">
        <v>20</v>
      </c>
      <c r="B17" s="1" t="s">
        <v>51</v>
      </c>
      <c r="C17" t="s">
        <v>15</v>
      </c>
      <c r="D17" t="s">
        <v>32</v>
      </c>
      <c r="E17">
        <v>1</v>
      </c>
      <c r="F17">
        <v>50</v>
      </c>
      <c r="G17" s="5">
        <v>11.28</v>
      </c>
      <c r="H17">
        <f>_xlfn.CEILING.MATH(Table1[[#This Row],['# per turbine]]/Table1[[#This Row],['# per pack]])</f>
        <v>1</v>
      </c>
      <c r="I17" s="7">
        <f>Table1[[#This Row],[€ per pack (incl VAT)]]/Table1[[#This Row],['# per pack]]*Table1[[#This Row],['# per turbine]]</f>
        <v>0.22559999999999999</v>
      </c>
      <c r="J17" s="5">
        <f t="shared" si="0"/>
        <v>11.28</v>
      </c>
      <c r="K17" t="s">
        <v>52</v>
      </c>
    </row>
    <row r="18" spans="1:13" ht="28.8" x14ac:dyDescent="0.3">
      <c r="A18" s="2" t="s">
        <v>37</v>
      </c>
      <c r="B18" s="1" t="s">
        <v>38</v>
      </c>
      <c r="C18" t="s">
        <v>39</v>
      </c>
      <c r="D18" t="s">
        <v>33</v>
      </c>
      <c r="E18">
        <v>1</v>
      </c>
      <c r="F18">
        <v>1</v>
      </c>
      <c r="G18" s="5">
        <v>3.95</v>
      </c>
      <c r="H18">
        <f>_xlfn.CEILING.MATH(Table1[[#This Row],['# per turbine]]/Table1[[#This Row],['# per pack]])</f>
        <v>1</v>
      </c>
      <c r="I18" s="7">
        <f>Table1[[#This Row],[€ per pack (incl VAT)]]/Table1[[#This Row],['# per pack]]*Table1[[#This Row],['# per turbine]]</f>
        <v>3.95</v>
      </c>
      <c r="J18" s="5">
        <f t="shared" si="0"/>
        <v>3.95</v>
      </c>
      <c r="K18" t="s">
        <v>40</v>
      </c>
      <c r="M18" s="7">
        <f>SUM(I18:I24)/1.21</f>
        <v>25.633768595041325</v>
      </c>
    </row>
    <row r="19" spans="1:13" ht="28.8" x14ac:dyDescent="0.3">
      <c r="A19" s="2" t="s">
        <v>18</v>
      </c>
      <c r="B19" s="1" t="s">
        <v>17</v>
      </c>
      <c r="C19" t="s">
        <v>50</v>
      </c>
      <c r="D19" t="s">
        <v>33</v>
      </c>
      <c r="E19">
        <v>0.5</v>
      </c>
      <c r="F19">
        <v>3</v>
      </c>
      <c r="G19" s="5">
        <f>7.5*1.21</f>
        <v>9.0749999999999993</v>
      </c>
      <c r="H19">
        <f>_xlfn.CEILING.MATH(Table1[[#This Row],['# per turbine]]/Table1[[#This Row],['# per pack]])</f>
        <v>1</v>
      </c>
      <c r="I19" s="7">
        <f>Table1[[#This Row],[€ per pack (incl VAT)]]/Table1[[#This Row],['# per pack]]*Table1[[#This Row],['# per turbine]]</f>
        <v>1.5125</v>
      </c>
      <c r="J19" s="5">
        <f t="shared" si="0"/>
        <v>9.0749999999999993</v>
      </c>
      <c r="K19" t="s">
        <v>19</v>
      </c>
    </row>
    <row r="20" spans="1:13" x14ac:dyDescent="0.3">
      <c r="A20" s="2" t="s">
        <v>10</v>
      </c>
      <c r="B20" s="1" t="s">
        <v>11</v>
      </c>
      <c r="C20" t="s">
        <v>12</v>
      </c>
      <c r="D20" t="s">
        <v>33</v>
      </c>
      <c r="E20">
        <v>4</v>
      </c>
      <c r="F20">
        <v>1</v>
      </c>
      <c r="G20" s="5">
        <f>0.354*1.21</f>
        <v>0.42833999999999994</v>
      </c>
      <c r="H20">
        <f>_xlfn.CEILING.MATH(Table1[[#This Row],['# per turbine]]/Table1[[#This Row],['# per pack]])</f>
        <v>4</v>
      </c>
      <c r="I20" s="7">
        <f>Table1[[#This Row],[€ per pack (incl VAT)]]/Table1[[#This Row],['# per pack]]*Table1[[#This Row],['# per turbine]]</f>
        <v>1.7133599999999998</v>
      </c>
      <c r="J20" s="5">
        <f t="shared" si="0"/>
        <v>1.7133599999999998</v>
      </c>
      <c r="K20" t="s">
        <v>49</v>
      </c>
    </row>
    <row r="21" spans="1:13" x14ac:dyDescent="0.3">
      <c r="A21" s="2" t="s">
        <v>13</v>
      </c>
      <c r="B21" s="1" t="s">
        <v>14</v>
      </c>
      <c r="C21" t="s">
        <v>15</v>
      </c>
      <c r="D21" t="s">
        <v>33</v>
      </c>
      <c r="E21">
        <v>2</v>
      </c>
      <c r="F21">
        <v>5</v>
      </c>
      <c r="G21" s="5">
        <f>1.358*5</f>
        <v>6.7900000000000009</v>
      </c>
      <c r="H21">
        <f>_xlfn.CEILING.MATH(Table1[[#This Row],['# per turbine]]/Table1[[#This Row],['# per pack]])</f>
        <v>1</v>
      </c>
      <c r="I21" s="7">
        <f>Table1[[#This Row],[€ per pack (incl VAT)]]/Table1[[#This Row],['# per pack]]*Table1[[#This Row],['# per turbine]]</f>
        <v>2.7160000000000002</v>
      </c>
      <c r="J21" s="5">
        <f t="shared" si="0"/>
        <v>6.7900000000000009</v>
      </c>
      <c r="K21" t="s">
        <v>16</v>
      </c>
    </row>
    <row r="22" spans="1:13" x14ac:dyDescent="0.3">
      <c r="A22" s="2" t="s">
        <v>4</v>
      </c>
      <c r="B22" s="1" t="s">
        <v>5</v>
      </c>
      <c r="C22" t="s">
        <v>7</v>
      </c>
      <c r="D22" t="s">
        <v>33</v>
      </c>
      <c r="E22">
        <v>0.3</v>
      </c>
      <c r="F22">
        <v>1</v>
      </c>
      <c r="G22" s="5">
        <v>3.75</v>
      </c>
      <c r="H22">
        <f>_xlfn.CEILING.MATH(Table1[[#This Row],['# per turbine]]/Table1[[#This Row],['# per pack]])</f>
        <v>1</v>
      </c>
      <c r="I22" s="7">
        <f>Table1[[#This Row],[€ per pack (incl VAT)]]/Table1[[#This Row],['# per pack]]*Table1[[#This Row],['# per turbine]]</f>
        <v>1.125</v>
      </c>
      <c r="J22" s="5">
        <f t="shared" si="0"/>
        <v>3.75</v>
      </c>
      <c r="K22" t="s">
        <v>9</v>
      </c>
    </row>
    <row r="23" spans="1:13" x14ac:dyDescent="0.3">
      <c r="A23" s="2" t="s">
        <v>45</v>
      </c>
      <c r="C23" t="s">
        <v>46</v>
      </c>
      <c r="D23" t="s">
        <v>33</v>
      </c>
      <c r="E23">
        <v>1</v>
      </c>
      <c r="F23">
        <v>1</v>
      </c>
      <c r="G23" s="5">
        <v>3</v>
      </c>
      <c r="H23">
        <f>_xlfn.CEILING.MATH(Table1[[#This Row],['# per turbine]]/Table1[[#This Row],['# per pack]])</f>
        <v>1</v>
      </c>
      <c r="I23" s="7">
        <f>Table1[[#This Row],[€ per pack (incl VAT)]]/Table1[[#This Row],['# per pack]]*Table1[[#This Row],['# per turbine]]</f>
        <v>3</v>
      </c>
      <c r="J23" s="5">
        <f t="shared" si="0"/>
        <v>3</v>
      </c>
      <c r="K23" t="s">
        <v>55</v>
      </c>
    </row>
    <row r="24" spans="1:13" x14ac:dyDescent="0.3">
      <c r="A24" s="2" t="s">
        <v>34</v>
      </c>
      <c r="B24" s="1" t="s">
        <v>35</v>
      </c>
      <c r="C24" t="s">
        <v>36</v>
      </c>
      <c r="D24" t="s">
        <v>33</v>
      </c>
      <c r="E24">
        <v>1</v>
      </c>
      <c r="F24">
        <v>1</v>
      </c>
      <c r="G24" s="5">
        <v>17</v>
      </c>
      <c r="H24">
        <f>_xlfn.CEILING.MATH(Table1[[#This Row],['# per turbine]]/Table1[[#This Row],['# per pack]])</f>
        <v>1</v>
      </c>
      <c r="I24" s="7">
        <f>Table1[[#This Row],[€ per pack (incl VAT)]]/Table1[[#This Row],['# per pack]]*Table1[[#This Row],['# per turbine]]</f>
        <v>17</v>
      </c>
      <c r="J24" s="5">
        <f t="shared" si="0"/>
        <v>17</v>
      </c>
    </row>
    <row r="25" spans="1:13" x14ac:dyDescent="0.3">
      <c r="B25" s="1"/>
    </row>
  </sheetData>
  <hyperlinks>
    <hyperlink ref="B22" r:id="rId1" xr:uid="{2C011735-41C0-4F98-98FD-201668D2D91C}"/>
    <hyperlink ref="B20" r:id="rId2" xr:uid="{61F9D532-52CA-4607-9075-A30302BA2EFE}"/>
    <hyperlink ref="B21" r:id="rId3" xr:uid="{505C9016-B46A-4A4E-9516-4C6FD2BFD630}"/>
    <hyperlink ref="B19" r:id="rId4" location="productTechData" xr:uid="{6C3EF44C-2F78-4F86-970B-A06A3CE9B71F}"/>
    <hyperlink ref="B17" r:id="rId5" xr:uid="{5B042B87-1039-42AB-86B0-796522454380}"/>
    <hyperlink ref="B13" r:id="rId6" xr:uid="{E73C9732-23A4-41E6-B15F-1EE568CD5F5E}"/>
    <hyperlink ref="B14" r:id="rId7" xr:uid="{0BB5F276-1EA9-4671-8F0D-8F05C612B1DF}"/>
    <hyperlink ref="B15" r:id="rId8" xr:uid="{9053CE9D-0E65-4AC0-8C9F-626DD88AC778}"/>
    <hyperlink ref="B16" r:id="rId9" xr:uid="{E09F610B-5568-42B3-B6F0-CC1443CAC667}"/>
    <hyperlink ref="B24" r:id="rId10" xr:uid="{F8560E7B-C2D7-42B4-B0B9-BAA44CA5A579}"/>
    <hyperlink ref="B18" r:id="rId11" xr:uid="{BEE1EE4C-30BD-4D2C-8F85-CA8A1230B585}"/>
    <hyperlink ref="B3" r:id="rId12" xr:uid="{9C5BFC7A-E9AB-4EC1-BA07-31744C3EF812}"/>
    <hyperlink ref="B2" r:id="rId13" xr:uid="{05B0C2AD-8266-42EB-9D26-039D76867D09}"/>
    <hyperlink ref="B8" r:id="rId14" xr:uid="{B2F5FED8-CD9D-4331-BB4D-5E7A6814839D}"/>
  </hyperlinks>
  <pageMargins left="0.7" right="0.7" top="0.75" bottom="0.75" header="0.3" footer="0.3"/>
  <pageSetup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PorousDisk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Umans</dc:creator>
  <cp:lastModifiedBy>Sachin Umans</cp:lastModifiedBy>
  <dcterms:created xsi:type="dcterms:W3CDTF">2024-12-06T15:38:51Z</dcterms:created>
  <dcterms:modified xsi:type="dcterms:W3CDTF">2025-12-08T14:28:35Z</dcterms:modified>
</cp:coreProperties>
</file>