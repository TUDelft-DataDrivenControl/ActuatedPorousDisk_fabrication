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tud365-my.sharepoint.com/personal/sachinumans_tudelft_nl/Documents/Documents/01a_Physical_Experiment/ActuatedPorousDisk_fabrication/02_Code/1on1validation/MicroController/V3/"/>
    </mc:Choice>
  </mc:AlternateContent>
  <xr:revisionPtr revIDLastSave="110" documentId="11_F25DC773A252ABDACC1048BEB99C46205BDE58EF" xr6:coauthVersionLast="47" xr6:coauthVersionMax="47" xr10:uidLastSave="{AB4B884E-958B-4571-A73F-3BD935CAD975}"/>
  <bookViews>
    <workbookView xWindow="1536" yWindow="1536" windowWidth="17280" windowHeight="99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F1" i="1"/>
  <c r="E11" i="1" s="1"/>
  <c r="D14" i="1"/>
  <c r="E4" i="1"/>
  <c r="I1" i="1" l="1"/>
</calcChain>
</file>

<file path=xl/sharedStrings.xml><?xml version="1.0" encoding="utf-8"?>
<sst xmlns="http://schemas.openxmlformats.org/spreadsheetml/2006/main" count="34" uniqueCount="34">
  <si>
    <t>Core 1 (Acquisition)</t>
  </si>
  <si>
    <t>1. Wait untill CMD is received over Serial</t>
  </si>
  <si>
    <t>#Bytes for #samples=</t>
  </si>
  <si>
    <t>if CMD is "STRT"</t>
  </si>
  <si>
    <t>1 float</t>
  </si>
  <si>
    <t xml:space="preserve">    2. Receive acquisition duration, frequency, and mode</t>
  </si>
  <si>
    <t>2 double and 4 char: "STAT", "DYNA"</t>
  </si>
  <si>
    <t xml:space="preserve">    if mode is "STAT"</t>
  </si>
  <si>
    <t xml:space="preserve">    3. Create Queue of 1 float</t>
  </si>
  <si>
    <t>1 Buffer</t>
  </si>
  <si>
    <t xml:space="preserve">         4. Receive motor target</t>
  </si>
  <si>
    <t xml:space="preserve">         5. Send target to Core 0 queue</t>
  </si>
  <si>
    <t xml:space="preserve">         6. Collect data for duration * frequency = Ns</t>
  </si>
  <si>
    <t xml:space="preserve">    if mode is "DYNA"</t>
  </si>
  <si>
    <t xml:space="preserve">        4. Receive motor control</t>
  </si>
  <si>
    <t>if current position &lt; Queue value</t>
  </si>
  <si>
    <t xml:space="preserve">    1. Step forward</t>
  </si>
  <si>
    <t>if current position &gt; Queue value</t>
  </si>
  <si>
    <t xml:space="preserve">    1. Step backward</t>
  </si>
  <si>
    <t>Ns int16_t</t>
  </si>
  <si>
    <t xml:space="preserve">        For the duration @ frequency</t>
  </si>
  <si>
    <t xml:space="preserve">            5. Send target to Core 0 queue</t>
  </si>
  <si>
    <t xml:space="preserve">            6. Collect sample</t>
  </si>
  <si>
    <t>4 char: "STRT", "GOTO"</t>
  </si>
  <si>
    <t>if CMD is "GOTO"</t>
  </si>
  <si>
    <t xml:space="preserve">    2. Receive motor target</t>
  </si>
  <si>
    <t xml:space="preserve">    3. Send target to Core 0 queue</t>
  </si>
  <si>
    <t>Core 0 (actuation) and timer</t>
  </si>
  <si>
    <t xml:space="preserve">    7. Send timeSeries over Serial</t>
  </si>
  <si>
    <t xml:space="preserve">    8. Flush Serial and send Ready for Command over Serial</t>
  </si>
  <si>
    <t xml:space="preserve">    4. Flush Serial and send Ready for Command over Serial</t>
  </si>
  <si>
    <t>Required memory:</t>
  </si>
  <si>
    <t>[Time, SG1, SG2], Ns float and 2 Ns int16_t</t>
  </si>
  <si>
    <t>2. Blink 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</si>
</sst>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0"/>
  <sheetViews>
    <sheetView tabSelected="1" workbookViewId="0">
      <selection activeCell="B9" sqref="B9"/>
    </sheetView>
  </sheetViews>
  <sheetFormatPr defaultRowHeight="14.4" x14ac:dyDescent="0.3"/>
  <cols>
    <col min="2" max="2" width="37.33203125" style="1" customWidth="1"/>
    <col min="3" max="3" width="42" style="1" customWidth="1"/>
    <col min="4" max="4" width="23.21875" style="1" customWidth="1"/>
    <col min="5" max="5" width="18.5546875" bestFit="1" customWidth="1"/>
  </cols>
  <sheetData>
    <row r="1" spans="2:9" x14ac:dyDescent="0.3">
      <c r="B1" s="1" t="s">
        <v>27</v>
      </c>
      <c r="C1" s="1" t="s">
        <v>0</v>
      </c>
      <c r="E1" t="s">
        <v>2</v>
      </c>
      <c r="F1">
        <f>120*600</f>
        <v>72000</v>
      </c>
      <c r="H1" t="s">
        <v>31</v>
      </c>
      <c r="I1">
        <f>SUM(E2:E24)/1048576</f>
        <v>0.686676025390625</v>
      </c>
    </row>
    <row r="2" spans="2:9" x14ac:dyDescent="0.3">
      <c r="B2" s="1" t="s">
        <v>15</v>
      </c>
      <c r="C2" s="1" t="s">
        <v>1</v>
      </c>
      <c r="D2" s="1" t="s">
        <v>23</v>
      </c>
      <c r="E2">
        <v>4</v>
      </c>
    </row>
    <row r="3" spans="2:9" x14ac:dyDescent="0.3">
      <c r="B3" s="1" t="s">
        <v>16</v>
      </c>
      <c r="C3" s="1" t="s">
        <v>3</v>
      </c>
    </row>
    <row r="4" spans="2:9" ht="28.8" x14ac:dyDescent="0.3">
      <c r="B4" s="1" t="s">
        <v>17</v>
      </c>
      <c r="C4" s="1" t="s">
        <v>5</v>
      </c>
      <c r="D4" s="1" t="s">
        <v>6</v>
      </c>
      <c r="E4">
        <f>2*8+4</f>
        <v>20</v>
      </c>
    </row>
    <row r="5" spans="2:9" x14ac:dyDescent="0.3">
      <c r="B5" s="1" t="s">
        <v>18</v>
      </c>
      <c r="C5" s="1" t="s">
        <v>8</v>
      </c>
      <c r="D5" s="1" t="s">
        <v>9</v>
      </c>
      <c r="E5">
        <v>4</v>
      </c>
    </row>
    <row r="6" spans="2:9" x14ac:dyDescent="0.3">
      <c r="B6" s="1" t="s">
        <v>33</v>
      </c>
      <c r="C6" s="1" t="s">
        <v>7</v>
      </c>
    </row>
    <row r="7" spans="2:9" x14ac:dyDescent="0.3">
      <c r="C7" s="1" t="s">
        <v>10</v>
      </c>
      <c r="D7" s="1" t="s">
        <v>4</v>
      </c>
      <c r="E7">
        <v>4</v>
      </c>
    </row>
    <row r="8" spans="2:9" x14ac:dyDescent="0.3">
      <c r="C8" s="1" t="s">
        <v>11</v>
      </c>
    </row>
    <row r="9" spans="2:9" ht="28.8" x14ac:dyDescent="0.3">
      <c r="C9" s="1" t="s">
        <v>12</v>
      </c>
      <c r="D9" s="1" t="s">
        <v>32</v>
      </c>
      <c r="E9">
        <f>(2*2 + 1*4)*F1</f>
        <v>576000</v>
      </c>
    </row>
    <row r="10" spans="2:9" x14ac:dyDescent="0.3">
      <c r="C10" s="1" t="s">
        <v>13</v>
      </c>
    </row>
    <row r="11" spans="2:9" x14ac:dyDescent="0.3">
      <c r="C11" s="1" t="s">
        <v>14</v>
      </c>
      <c r="D11" s="1" t="s">
        <v>19</v>
      </c>
      <c r="E11">
        <f>2*F1</f>
        <v>144000</v>
      </c>
    </row>
    <row r="12" spans="2:9" x14ac:dyDescent="0.3">
      <c r="C12" s="1" t="s">
        <v>20</v>
      </c>
    </row>
    <row r="13" spans="2:9" x14ac:dyDescent="0.3">
      <c r="C13" s="1" t="s">
        <v>21</v>
      </c>
    </row>
    <row r="14" spans="2:9" ht="28.8" x14ac:dyDescent="0.3">
      <c r="C14" s="1" t="s">
        <v>22</v>
      </c>
      <c r="D14" s="1" t="str">
        <f>D9</f>
        <v>[Time, SG1, SG2], Ns float and 2 Ns int16_t</v>
      </c>
    </row>
    <row r="15" spans="2:9" x14ac:dyDescent="0.3">
      <c r="C15" s="1" t="s">
        <v>28</v>
      </c>
    </row>
    <row r="16" spans="2:9" ht="28.8" x14ac:dyDescent="0.3">
      <c r="C16" s="1" t="s">
        <v>29</v>
      </c>
    </row>
    <row r="17" spans="3:3" x14ac:dyDescent="0.3">
      <c r="C17" s="1" t="s">
        <v>24</v>
      </c>
    </row>
    <row r="18" spans="3:3" x14ac:dyDescent="0.3">
      <c r="C18" s="1" t="s">
        <v>25</v>
      </c>
    </row>
    <row r="19" spans="3:3" x14ac:dyDescent="0.3">
      <c r="C19" s="1" t="s">
        <v>26</v>
      </c>
    </row>
    <row r="20" spans="3:3" ht="28.8" x14ac:dyDescent="0.3">
      <c r="C20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Umans</dc:creator>
  <cp:lastModifiedBy>Sachin Umans</cp:lastModifiedBy>
  <dcterms:created xsi:type="dcterms:W3CDTF">2015-06-05T18:17:20Z</dcterms:created>
  <dcterms:modified xsi:type="dcterms:W3CDTF">2025-10-21T20:01:10Z</dcterms:modified>
</cp:coreProperties>
</file>